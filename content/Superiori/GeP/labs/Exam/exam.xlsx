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G8" i="1" s="1"/>
  <c r="E8" i="1"/>
  <c r="F7" i="1"/>
  <c r="G7" i="1" s="1"/>
  <c r="E7" i="1"/>
  <c r="F6" i="1"/>
  <c r="G6" i="1" s="1"/>
  <c r="E6" i="1"/>
  <c r="F5" i="1"/>
  <c r="G5" i="1" s="1"/>
  <c r="E5" i="1"/>
  <c r="F4" i="1"/>
  <c r="G4" i="1" s="1"/>
  <c r="E4" i="1"/>
  <c r="F3" i="1"/>
  <c r="G3" i="1" s="1"/>
  <c r="E3" i="1"/>
  <c r="F2" i="1"/>
  <c r="G2" i="1" s="1"/>
  <c r="E2" i="1"/>
  <c r="B12" i="1" l="1"/>
</calcChain>
</file>

<file path=xl/sharedStrings.xml><?xml version="1.0" encoding="utf-8"?>
<sst xmlns="http://schemas.openxmlformats.org/spreadsheetml/2006/main" count="25" uniqueCount="20">
  <si>
    <t>Attività</t>
  </si>
  <si>
    <t>Stima pessimistica</t>
  </si>
  <si>
    <t>Stima probabile</t>
  </si>
  <si>
    <t>Stima ottimistica</t>
  </si>
  <si>
    <t>Valore atteso</t>
  </si>
  <si>
    <t>Sigma</t>
  </si>
  <si>
    <t>Sigma^2</t>
  </si>
  <si>
    <t>Critica</t>
  </si>
  <si>
    <t>A</t>
  </si>
  <si>
    <t>x</t>
  </si>
  <si>
    <t>B</t>
  </si>
  <si>
    <t>C</t>
  </si>
  <si>
    <t>D</t>
  </si>
  <si>
    <t>E</t>
  </si>
  <si>
    <t>F</t>
  </si>
  <si>
    <t>G</t>
  </si>
  <si>
    <t>DL:</t>
  </si>
  <si>
    <t>TD:</t>
  </si>
  <si>
    <t>z:</t>
  </si>
  <si>
    <t>f(z):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</si>
</sst>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A21" workbookViewId="0">
      <selection activeCell="J35" sqref="J35"/>
    </sheetView>
  </sheetViews>
  <sheetFormatPr defaultRowHeight="15" x14ac:dyDescent="0.25"/>
  <cols>
    <col min="1" max="1" width="7.5703125" bestFit="1" customWidth="1"/>
    <col min="2" max="2" width="17.5703125" bestFit="1" customWidth="1"/>
    <col min="3" max="3" width="15.140625" bestFit="1" customWidth="1"/>
    <col min="4" max="4" width="16" bestFit="1" customWidth="1"/>
    <col min="5" max="5" width="12.85546875" bestFit="1" customWidth="1"/>
    <col min="6" max="6" width="6.28515625" bestFit="1" customWidth="1"/>
    <col min="7" max="7" width="8.28515625" bestFit="1" customWidth="1"/>
    <col min="8" max="8" width="6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7</v>
      </c>
      <c r="C2" s="1">
        <v>3</v>
      </c>
      <c r="D2" s="1">
        <v>2</v>
      </c>
      <c r="E2" s="2">
        <f>ROUND((D2+(4*C2)+B2)/3, 0)/2</f>
        <v>3.5</v>
      </c>
      <c r="F2" s="3">
        <f>(B2-D2)/6</f>
        <v>0.83333333333333337</v>
      </c>
      <c r="G2" s="3">
        <f>F2*F2</f>
        <v>0.69444444444444453</v>
      </c>
      <c r="H2" s="1" t="s">
        <v>9</v>
      </c>
    </row>
    <row r="3" spans="1:8" x14ac:dyDescent="0.25">
      <c r="A3" s="1" t="s">
        <v>10</v>
      </c>
      <c r="B3" s="1">
        <v>9</v>
      </c>
      <c r="C3" s="1">
        <v>7</v>
      </c>
      <c r="D3" s="1">
        <v>7</v>
      </c>
      <c r="E3" s="2">
        <f>ROUND((D3+(4*C3)+B3)/3, 0)/2</f>
        <v>7.5</v>
      </c>
      <c r="F3" s="3">
        <f t="shared" ref="F3:F8" si="0">(B3-D3)/6</f>
        <v>0.33333333333333331</v>
      </c>
      <c r="G3" s="3">
        <f t="shared" ref="G3:G8" si="1">F3*F3</f>
        <v>0.1111111111111111</v>
      </c>
      <c r="H3" s="1" t="s">
        <v>9</v>
      </c>
    </row>
    <row r="4" spans="1:8" x14ac:dyDescent="0.25">
      <c r="A4" s="1" t="s">
        <v>11</v>
      </c>
      <c r="B4" s="1">
        <v>8</v>
      </c>
      <c r="C4" s="1">
        <v>5</v>
      </c>
      <c r="D4" s="1">
        <v>4</v>
      </c>
      <c r="E4" s="2">
        <f t="shared" ref="E4:E8" si="2">ROUND((D4+(4*C4)+B4)/3, 0)/2</f>
        <v>5.5</v>
      </c>
      <c r="F4" s="3">
        <f t="shared" si="0"/>
        <v>0.66666666666666663</v>
      </c>
      <c r="G4" s="3">
        <f t="shared" si="1"/>
        <v>0.44444444444444442</v>
      </c>
      <c r="H4" s="1" t="s">
        <v>9</v>
      </c>
    </row>
    <row r="5" spans="1:8" x14ac:dyDescent="0.25">
      <c r="A5" s="1" t="s">
        <v>12</v>
      </c>
      <c r="B5" s="1">
        <v>5</v>
      </c>
      <c r="C5" s="1">
        <v>4</v>
      </c>
      <c r="D5" s="1">
        <v>3</v>
      </c>
      <c r="E5" s="2">
        <f t="shared" si="2"/>
        <v>4</v>
      </c>
      <c r="F5" s="3">
        <f t="shared" si="0"/>
        <v>0.33333333333333331</v>
      </c>
      <c r="G5" s="3">
        <f t="shared" si="1"/>
        <v>0.1111111111111111</v>
      </c>
      <c r="H5" s="1" t="s">
        <v>9</v>
      </c>
    </row>
    <row r="6" spans="1:8" x14ac:dyDescent="0.25">
      <c r="A6" s="1" t="s">
        <v>13</v>
      </c>
      <c r="B6" s="1">
        <v>12</v>
      </c>
      <c r="C6" s="1">
        <v>11</v>
      </c>
      <c r="D6" s="1">
        <v>9</v>
      </c>
      <c r="E6" s="2">
        <f t="shared" si="2"/>
        <v>11</v>
      </c>
      <c r="F6" s="3">
        <f t="shared" si="0"/>
        <v>0.5</v>
      </c>
      <c r="G6" s="1">
        <f t="shared" si="1"/>
        <v>0.25</v>
      </c>
      <c r="H6" s="1" t="s">
        <v>9</v>
      </c>
    </row>
    <row r="7" spans="1:8" x14ac:dyDescent="0.25">
      <c r="A7" s="1" t="s">
        <v>14</v>
      </c>
      <c r="B7" s="1">
        <v>4</v>
      </c>
      <c r="C7" s="1">
        <v>2</v>
      </c>
      <c r="D7" s="1">
        <v>1</v>
      </c>
      <c r="E7" s="2">
        <f t="shared" si="2"/>
        <v>2</v>
      </c>
      <c r="F7" s="3">
        <f t="shared" si="0"/>
        <v>0.5</v>
      </c>
      <c r="G7" s="1">
        <f t="shared" si="1"/>
        <v>0.25</v>
      </c>
      <c r="H7" s="1"/>
    </row>
    <row r="8" spans="1:8" x14ac:dyDescent="0.25">
      <c r="A8" s="1" t="s">
        <v>15</v>
      </c>
      <c r="B8" s="1">
        <v>7</v>
      </c>
      <c r="C8" s="1">
        <v>3</v>
      </c>
      <c r="D8" s="1">
        <v>2</v>
      </c>
      <c r="E8" s="2">
        <f t="shared" si="2"/>
        <v>3.5</v>
      </c>
      <c r="F8" s="3">
        <f t="shared" si="0"/>
        <v>0.83333333333333337</v>
      </c>
      <c r="G8" s="3">
        <f t="shared" si="1"/>
        <v>0.69444444444444453</v>
      </c>
      <c r="H8" s="1" t="s">
        <v>9</v>
      </c>
    </row>
    <row r="10" spans="1:8" x14ac:dyDescent="0.25">
      <c r="A10" s="1" t="s">
        <v>16</v>
      </c>
      <c r="B10" s="1">
        <v>38</v>
      </c>
    </row>
    <row r="11" spans="1:8" x14ac:dyDescent="0.25">
      <c r="A11" s="1" t="s">
        <v>17</v>
      </c>
      <c r="B11" s="1">
        <v>35</v>
      </c>
    </row>
    <row r="12" spans="1:8" x14ac:dyDescent="0.25">
      <c r="A12" s="1" t="s">
        <v>18</v>
      </c>
      <c r="B12">
        <f>(B10-B11)/SQRT(SUM(G2:G6,G8))</f>
        <v>1.9757566798144262</v>
      </c>
    </row>
    <row r="13" spans="1:8" x14ac:dyDescent="0.25">
      <c r="A13" s="1" t="s">
        <v>19</v>
      </c>
      <c r="B13">
        <v>0.97558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2024-02-03T09:02:05Z</dcterms:modified>
</cp:coreProperties>
</file>